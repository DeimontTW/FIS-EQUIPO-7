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rma\Documents\"/>
    </mc:Choice>
  </mc:AlternateContent>
  <xr:revisionPtr revIDLastSave="0" documentId="13_ncr:1_{5BD305EC-E901-4509-B663-CE44B524DF75}" xr6:coauthVersionLast="47" xr6:coauthVersionMax="47" xr10:uidLastSave="{00000000-0000-0000-0000-000000000000}"/>
  <bookViews>
    <workbookView xWindow="-120" yWindow="-120" windowWidth="29040" windowHeight="15840" xr2:uid="{925EAB78-73AC-4E6F-9BCF-DAE64F26990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1" i="1" l="1"/>
  <c r="D59" i="1"/>
  <c r="G32" i="1"/>
  <c r="F32" i="1"/>
  <c r="G31" i="1"/>
  <c r="F31" i="1"/>
  <c r="G30" i="1"/>
  <c r="F30" i="1"/>
  <c r="G29" i="1"/>
  <c r="F29" i="1"/>
  <c r="H20" i="1"/>
  <c r="C14" i="1"/>
  <c r="J16" i="1"/>
  <c r="M17" i="1"/>
  <c r="M16" i="1"/>
  <c r="L17" i="1"/>
  <c r="L16" i="1"/>
  <c r="J17" i="1"/>
</calcChain>
</file>

<file path=xl/sharedStrings.xml><?xml version="1.0" encoding="utf-8"?>
<sst xmlns="http://schemas.openxmlformats.org/spreadsheetml/2006/main" count="48" uniqueCount="47">
  <si>
    <t>Se determinó el contenido de ion sodio de una muestra de orina utilizando un electrodo selectivo de iones, obteniéndose los siguientes valores:</t>
  </si>
  <si>
    <t>mmol</t>
  </si>
  <si>
    <t>¿Cuáles son los límites de confianza al 95 y 99% para la concentración de sodio?</t>
  </si>
  <si>
    <t>Desv. ESTÁNDAR</t>
  </si>
  <si>
    <t>Promedio</t>
  </si>
  <si>
    <t>t a/2 95% =</t>
  </si>
  <si>
    <t xml:space="preserve">t a/2 99% = </t>
  </si>
  <si>
    <t>Raiz cuadrada de n =</t>
  </si>
  <si>
    <t>Desv. Están. / 2.449 =</t>
  </si>
  <si>
    <t>NOTA: Checar desv. Estándar</t>
  </si>
  <si>
    <t>Al desarrollar una metodología por cromatografía de líquidos de alta eficiencia para la cuantificación de ácidos orgánicos, se obtuvieron los siguientes datos:</t>
  </si>
  <si>
    <t>Ácido orgánico</t>
  </si>
  <si>
    <t>Oxálico</t>
  </si>
  <si>
    <t>Tartárico</t>
  </si>
  <si>
    <t>Málico</t>
  </si>
  <si>
    <t>Fumárico</t>
  </si>
  <si>
    <t>Calcular el límite de detección y límite de cuántificación para cada uno de los ácidos orgánicos</t>
  </si>
  <si>
    <t>Número de ensayos realizados(n)</t>
  </si>
  <si>
    <t>Pendiente (b)</t>
  </si>
  <si>
    <t>Desviación estándar de x con respecto a y (Sxy)</t>
  </si>
  <si>
    <t>LD</t>
  </si>
  <si>
    <t>LC</t>
  </si>
  <si>
    <t>SALIÓ BIEN</t>
  </si>
  <si>
    <t>Se obtuvieron los siguientes resultados en la estandarización de un ácido con tetraborato de sodio</t>
  </si>
  <si>
    <t>mL</t>
  </si>
  <si>
    <t>Identifique si existe algún valor atípico de acuerdo a la prueba de Dixon</t>
  </si>
  <si>
    <t>Q = (7.8 - 5.3) / (7.8 - 3.1)</t>
  </si>
  <si>
    <t>n= 7</t>
  </si>
  <si>
    <t>alfa = 0.05</t>
  </si>
  <si>
    <t>Q de n 7 y alfa 0.05 = 0.568</t>
  </si>
  <si>
    <t>Se rechaza que 7.8 sea un valor atípico, se acepta</t>
  </si>
  <si>
    <t>Al efectuar una serie de réplicas para determinar la concentración del ion sulfato en una muestra de agua para riego, se obtuvieron los siguientes resultados:</t>
  </si>
  <si>
    <t>Determinar si la medida 6 es un valor rechazable</t>
  </si>
  <si>
    <t>Q = (6 - 5.6) / (6 - 5)</t>
  </si>
  <si>
    <t>Q tab = 0.71</t>
  </si>
  <si>
    <t>Es menor 0.4 que 0.71, se acepta el valor.</t>
  </si>
  <si>
    <t>LLEVA PORTADA</t>
  </si>
  <si>
    <t>Arial 12</t>
  </si>
  <si>
    <t>Cuidar número de decimales</t>
  </si>
  <si>
    <t>Subíndices, y superíndices igual</t>
  </si>
  <si>
    <t>Toda gráfica numerada y nombrada</t>
  </si>
  <si>
    <t>Nombres de variables</t>
  </si>
  <si>
    <t>Ancho de columnas no se modifica</t>
  </si>
  <si>
    <t>No usar colores amarillo, rojo, verde y naranja</t>
  </si>
  <si>
    <t>LA PORTADA SE PONE EN UNA PESTAÑA APARTE</t>
  </si>
  <si>
    <t>La portada puede llevar diseño libre, sin el formato de respuestas</t>
  </si>
  <si>
    <t>El nombre con el que se sube a plataforma es Padilla_Germán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</si>
</sst>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/>
    <xf numFmtId="2" fontId="0" fillId="0" borderId="0" xfId="0" applyNumberForma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FB153-7A97-4788-8D0E-4B7BBB66622A}">
  <dimension ref="B3:M91"/>
  <sheetViews>
    <sheetView tabSelected="1" topLeftCell="A67" zoomScaleNormal="100" workbookViewId="0">
      <selection activeCell="F92" sqref="F92"/>
    </sheetView>
  </sheetViews>
  <sheetFormatPr baseColWidth="10" defaultRowHeight="15" x14ac:dyDescent="0.25"/>
  <cols>
    <col min="2" max="2" width="17.7109375" customWidth="1"/>
    <col min="3" max="3" width="32" customWidth="1"/>
    <col min="4" max="4" width="19.5703125" customWidth="1"/>
    <col min="5" max="5" width="50.140625" customWidth="1"/>
    <col min="7" max="7" width="19.140625" customWidth="1"/>
  </cols>
  <sheetData>
    <row r="3" spans="2:13" x14ac:dyDescent="0.25">
      <c r="B3" t="s">
        <v>0</v>
      </c>
    </row>
    <row r="5" spans="2:13" x14ac:dyDescent="0.25">
      <c r="B5">
        <v>102</v>
      </c>
      <c r="C5" t="s">
        <v>1</v>
      </c>
    </row>
    <row r="6" spans="2:13" x14ac:dyDescent="0.25">
      <c r="B6">
        <v>87</v>
      </c>
    </row>
    <row r="7" spans="2:13" x14ac:dyDescent="0.25">
      <c r="B7">
        <v>99</v>
      </c>
    </row>
    <row r="8" spans="2:13" x14ac:dyDescent="0.25">
      <c r="B8">
        <v>98</v>
      </c>
    </row>
    <row r="9" spans="2:13" x14ac:dyDescent="0.25">
      <c r="B9">
        <v>101</v>
      </c>
      <c r="D9" t="s">
        <v>4</v>
      </c>
      <c r="E9">
        <v>100.5</v>
      </c>
    </row>
    <row r="10" spans="2:13" x14ac:dyDescent="0.25">
      <c r="B10">
        <v>106</v>
      </c>
    </row>
    <row r="12" spans="2:13" x14ac:dyDescent="0.25">
      <c r="C12" t="s">
        <v>2</v>
      </c>
    </row>
    <row r="14" spans="2:13" x14ac:dyDescent="0.25">
      <c r="B14" t="s">
        <v>3</v>
      </c>
      <c r="C14">
        <f>_xlfn.STDEV.S(B5:B10)</f>
        <v>6.4316923641190007</v>
      </c>
    </row>
    <row r="16" spans="2:13" x14ac:dyDescent="0.25">
      <c r="F16" t="s">
        <v>5</v>
      </c>
      <c r="G16">
        <v>2.57</v>
      </c>
      <c r="J16">
        <f>(3.4333)*(2.57)</f>
        <v>8.823580999999999</v>
      </c>
      <c r="L16">
        <f>100.5+8.82</f>
        <v>109.32</v>
      </c>
      <c r="M16">
        <f>100.5-8.82</f>
        <v>91.68</v>
      </c>
    </row>
    <row r="17" spans="2:13" x14ac:dyDescent="0.25">
      <c r="F17" t="s">
        <v>6</v>
      </c>
      <c r="G17">
        <v>4.03</v>
      </c>
      <c r="J17">
        <f>(3.4333)*(4.03)</f>
        <v>13.836199000000001</v>
      </c>
      <c r="L17">
        <f>100.5+13.83</f>
        <v>114.33</v>
      </c>
      <c r="M17">
        <f>100.5-13.83</f>
        <v>86.67</v>
      </c>
    </row>
    <row r="20" spans="2:13" x14ac:dyDescent="0.25">
      <c r="E20" t="s">
        <v>7</v>
      </c>
      <c r="F20">
        <v>2.4489999999999998</v>
      </c>
      <c r="G20" t="s">
        <v>8</v>
      </c>
      <c r="H20">
        <f xml:space="preserve"> C14 / 2.449</f>
        <v>2.6262524965777874</v>
      </c>
    </row>
    <row r="22" spans="2:13" x14ac:dyDescent="0.25">
      <c r="H22" t="s">
        <v>9</v>
      </c>
    </row>
    <row r="25" spans="2:13" x14ac:dyDescent="0.25">
      <c r="B25" t="s">
        <v>10</v>
      </c>
    </row>
    <row r="28" spans="2:13" x14ac:dyDescent="0.25">
      <c r="B28" s="1" t="s">
        <v>11</v>
      </c>
      <c r="C28" s="1" t="s">
        <v>17</v>
      </c>
      <c r="D28" s="1" t="s">
        <v>18</v>
      </c>
      <c r="E28" s="1" t="s">
        <v>19</v>
      </c>
      <c r="F28" s="1" t="s">
        <v>20</v>
      </c>
      <c r="G28" s="1" t="s">
        <v>21</v>
      </c>
    </row>
    <row r="29" spans="2:13" x14ac:dyDescent="0.25">
      <c r="B29" t="s">
        <v>12</v>
      </c>
      <c r="C29">
        <v>3</v>
      </c>
      <c r="D29">
        <v>7.39</v>
      </c>
      <c r="E29">
        <v>12.51</v>
      </c>
      <c r="F29" s="3">
        <f xml:space="preserve"> (3*12.51)/(7.39*1.73)</f>
        <v>2.9355401378209893</v>
      </c>
      <c r="G29" s="3">
        <f xml:space="preserve"> (10*12.51)/(7.39*1.73)</f>
        <v>9.7851337927366302</v>
      </c>
    </row>
    <row r="30" spans="2:13" x14ac:dyDescent="0.25">
      <c r="B30" t="s">
        <v>13</v>
      </c>
      <c r="C30">
        <v>3</v>
      </c>
      <c r="D30">
        <v>1.5</v>
      </c>
      <c r="E30">
        <v>1.3</v>
      </c>
      <c r="F30" s="3">
        <f xml:space="preserve"> (3*1.3)/(1.5*1.73)</f>
        <v>1.502890173410405</v>
      </c>
      <c r="G30" s="3">
        <f xml:space="preserve"> (10*1.3)/(1.5*1.73)</f>
        <v>5.0096339113680157</v>
      </c>
    </row>
    <row r="31" spans="2:13" x14ac:dyDescent="0.25">
      <c r="B31" t="s">
        <v>14</v>
      </c>
      <c r="C31">
        <v>3</v>
      </c>
      <c r="D31">
        <v>0.8</v>
      </c>
      <c r="E31">
        <v>3.11</v>
      </c>
      <c r="F31" s="3">
        <f xml:space="preserve"> (3*3.11)/(0.8*1.73)</f>
        <v>6.7413294797687859</v>
      </c>
      <c r="G31" s="3">
        <f xml:space="preserve"> (10*3.11)/(0.8*1.73)</f>
        <v>22.47109826589595</v>
      </c>
    </row>
    <row r="32" spans="2:13" x14ac:dyDescent="0.25">
      <c r="B32" t="s">
        <v>15</v>
      </c>
      <c r="C32">
        <v>3</v>
      </c>
      <c r="D32">
        <v>126.91</v>
      </c>
      <c r="E32">
        <v>90.92</v>
      </c>
      <c r="F32" s="3">
        <f xml:space="preserve"> (3*90.92)/(126.91*1.73)</f>
        <v>1.2423350396690023</v>
      </c>
      <c r="G32" s="3">
        <f xml:space="preserve"> (10*90.92)/(126.91*1.73)</f>
        <v>4.1411167988966744</v>
      </c>
    </row>
    <row r="35" spans="2:6" x14ac:dyDescent="0.25">
      <c r="C35" t="s">
        <v>16</v>
      </c>
      <c r="F35" t="s">
        <v>22</v>
      </c>
    </row>
    <row r="47" spans="2:6" x14ac:dyDescent="0.25">
      <c r="B47" t="s">
        <v>23</v>
      </c>
    </row>
    <row r="48" spans="2:6" x14ac:dyDescent="0.25">
      <c r="B48" s="4" t="s">
        <v>24</v>
      </c>
    </row>
    <row r="49" spans="2:5" x14ac:dyDescent="0.25">
      <c r="B49">
        <v>7.8</v>
      </c>
    </row>
    <row r="50" spans="2:5" x14ac:dyDescent="0.25">
      <c r="B50">
        <v>5.3</v>
      </c>
    </row>
    <row r="51" spans="2:5" x14ac:dyDescent="0.25">
      <c r="B51">
        <v>4.9000000000000004</v>
      </c>
    </row>
    <row r="52" spans="2:5" x14ac:dyDescent="0.25">
      <c r="B52">
        <v>4.7</v>
      </c>
    </row>
    <row r="53" spans="2:5" x14ac:dyDescent="0.25">
      <c r="B53">
        <v>4.3</v>
      </c>
    </row>
    <row r="54" spans="2:5" x14ac:dyDescent="0.25">
      <c r="B54">
        <v>3.9</v>
      </c>
    </row>
    <row r="55" spans="2:5" x14ac:dyDescent="0.25">
      <c r="B55">
        <v>3.1</v>
      </c>
    </row>
    <row r="57" spans="2:5" x14ac:dyDescent="0.25">
      <c r="C57" t="s">
        <v>25</v>
      </c>
    </row>
    <row r="59" spans="2:5" x14ac:dyDescent="0.25">
      <c r="C59" t="s">
        <v>26</v>
      </c>
      <c r="D59" s="2">
        <f xml:space="preserve"> (7.8 - 5.3) / (7.8 - 3.1)</f>
        <v>0.53191489361702138</v>
      </c>
    </row>
    <row r="61" spans="2:5" x14ac:dyDescent="0.25">
      <c r="D61" t="s">
        <v>27</v>
      </c>
      <c r="E61" t="s">
        <v>29</v>
      </c>
    </row>
    <row r="62" spans="2:5" x14ac:dyDescent="0.25">
      <c r="D62" t="s">
        <v>28</v>
      </c>
    </row>
    <row r="64" spans="2:5" x14ac:dyDescent="0.25">
      <c r="E64" t="s">
        <v>30</v>
      </c>
    </row>
    <row r="66" spans="2:6" x14ac:dyDescent="0.25">
      <c r="E66" t="s">
        <v>22</v>
      </c>
    </row>
    <row r="70" spans="2:6" x14ac:dyDescent="0.25">
      <c r="B70" t="s">
        <v>31</v>
      </c>
    </row>
    <row r="72" spans="2:6" x14ac:dyDescent="0.25">
      <c r="B72">
        <v>5</v>
      </c>
    </row>
    <row r="73" spans="2:6" x14ac:dyDescent="0.25">
      <c r="B73">
        <v>5.2</v>
      </c>
    </row>
    <row r="74" spans="2:6" x14ac:dyDescent="0.25">
      <c r="B74">
        <v>5.5</v>
      </c>
    </row>
    <row r="75" spans="2:6" x14ac:dyDescent="0.25">
      <c r="B75">
        <v>5.6</v>
      </c>
    </row>
    <row r="76" spans="2:6" x14ac:dyDescent="0.25">
      <c r="B76">
        <v>6</v>
      </c>
    </row>
    <row r="78" spans="2:6" x14ac:dyDescent="0.25">
      <c r="B78" t="s">
        <v>32</v>
      </c>
    </row>
    <row r="80" spans="2:6" x14ac:dyDescent="0.25">
      <c r="F80" t="s">
        <v>36</v>
      </c>
    </row>
    <row r="81" spans="2:6" x14ac:dyDescent="0.25">
      <c r="B81" t="s">
        <v>33</v>
      </c>
      <c r="C81">
        <f xml:space="preserve"> (6 - 5.6) / (6 - 5)</f>
        <v>0.40000000000000036</v>
      </c>
      <c r="E81" t="s">
        <v>34</v>
      </c>
      <c r="F81" t="s">
        <v>37</v>
      </c>
    </row>
    <row r="82" spans="2:6" x14ac:dyDescent="0.25">
      <c r="F82" t="s">
        <v>38</v>
      </c>
    </row>
    <row r="83" spans="2:6" x14ac:dyDescent="0.25">
      <c r="E83" t="s">
        <v>35</v>
      </c>
      <c r="F83" t="s">
        <v>39</v>
      </c>
    </row>
    <row r="84" spans="2:6" x14ac:dyDescent="0.25">
      <c r="F84" t="s">
        <v>40</v>
      </c>
    </row>
    <row r="85" spans="2:6" x14ac:dyDescent="0.25">
      <c r="F85" t="s">
        <v>41</v>
      </c>
    </row>
    <row r="86" spans="2:6" x14ac:dyDescent="0.25">
      <c r="F86" t="s">
        <v>42</v>
      </c>
    </row>
    <row r="87" spans="2:6" x14ac:dyDescent="0.25">
      <c r="F87" t="s">
        <v>43</v>
      </c>
    </row>
    <row r="88" spans="2:6" x14ac:dyDescent="0.25">
      <c r="F88" t="s">
        <v>44</v>
      </c>
    </row>
    <row r="89" spans="2:6" x14ac:dyDescent="0.25">
      <c r="F89" t="s">
        <v>45</v>
      </c>
    </row>
    <row r="91" spans="2:6" x14ac:dyDescent="0.25">
      <c r="F91" t="s">
        <v>46</v>
      </c>
    </row>
  </sheetData>
  <sortState xmlns:xlrd2="http://schemas.microsoft.com/office/spreadsheetml/2017/richdata2" ref="B49:B55">
    <sortCondition descending="1" ref="B49:B55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Germán Padilla</dc:creator>
  <cp:lastModifiedBy>Germán Padilla</cp:lastModifiedBy>
  <dcterms:created xsi:type="dcterms:W3CDTF">2024-09-26T22:01:05Z</dcterms:created>
  <dcterms:modified xsi:type="dcterms:W3CDTF">2024-09-26T23:33:49Z</dcterms:modified>
</cp:coreProperties>
</file>